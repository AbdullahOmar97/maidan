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نية التحتية (AWS vs GCP)" sheetId="1" state="visible" r:id="rId1"/>
    <sheet name="التكاليف التشغيلية الإجمالية" sheetId="2" state="visible" r:id="rId2"/>
    <sheet name="تسعير باقات الحد الأدنى" sheetId="3" state="visible" r:id="rId3"/>
    <sheet name="تسعير الخبراء والسوق الأردني" sheetId="4" state="visible" r:id="rId4"/>
    <sheet name="محاكاة نمو 12 شهر (AWS)" sheetId="5" state="visible" r:id="rId5"/>
    <sheet name="المقاييس المالية (LTV &amp; CA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b val="1"/>
      <color rgb="001B365D"/>
      <sz val="12"/>
    </font>
    <font>
      <name val="Segoe UI"/>
      <sz val="11"/>
    </font>
    <font>
      <name val="Segoe UI"/>
      <b val="1"/>
      <sz val="11"/>
    </font>
    <font>
      <name val="Segoe UI"/>
      <b val="1"/>
      <color rgb="001B365D"/>
      <sz val="1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DF5"/>
        <bgColor rgb="00E6EDF5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 indent="1"/>
    </xf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4" fontId="5" fillId="0" borderId="1" applyAlignment="1" pivotButton="0" quotePrefix="0" xfId="0">
      <alignment horizontal="right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4" fontId="5" fillId="4" borderId="1" applyAlignment="1" pivotButton="0" quotePrefix="0" xfId="0">
      <alignment horizontal="right" vertical="center" wrapText="1"/>
    </xf>
    <xf numFmtId="0" fontId="6" fillId="5" borderId="2" pivotButton="0" quotePrefix="0" xfId="0"/>
    <xf numFmtId="0" fontId="0" fillId="5" borderId="2" pivotButton="0" quotePrefix="0" xfId="0"/>
    <xf numFmtId="164" fontId="6" fillId="5" borderId="2" applyAlignment="1" pivotButton="0" quotePrefix="0" xfId="0">
      <alignment horizontal="right" vertical="center" wrapText="1"/>
    </xf>
    <xf numFmtId="4" fontId="6" fillId="5" borderId="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 wrapText="1"/>
    </xf>
    <xf numFmtId="4" fontId="6" fillId="6" borderId="1" applyAlignment="1" pivotButton="0" quotePrefix="0" xfId="0">
      <alignment horizontal="right" vertical="center" wrapText="1"/>
    </xf>
    <xf numFmtId="9" fontId="5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rightToLeft="1" workbookViewId="0">
      <selection activeCell="A1" sqref="A1"/>
    </sheetView>
  </sheetViews>
  <sheetFormatPr baseColWidth="8" defaultRowHeight="15"/>
  <cols>
    <col width="123" customWidth="1" min="1" max="1"/>
    <col width="46" customWidth="1" min="2" max="2"/>
    <col width="28" customWidth="1" min="3" max="3"/>
    <col width="26" customWidth="1" min="4" max="4"/>
    <col width="49" customWidth="1" min="5" max="5"/>
    <col width="28" customWidth="1" min="6" max="6"/>
    <col width="26" customWidth="1" min="7" max="7"/>
  </cols>
  <sheetData>
    <row r="1" ht="40" customHeight="1">
      <c r="A1" s="1" t="inlineStr">
        <is>
          <t>مقارنة تكاليف البنية التحتية السحابية الشهرية بالتفصيل (AWS vs GCP)</t>
        </is>
      </c>
    </row>
    <row r="2" ht="20" customHeight="1">
      <c r="A2" s="2" t="inlineStr">
        <is>
          <t>سعر الصرف المعتمد: 1 دولار أمريكي = 0.709 دينار أردني (سعر مثبت). الأسعار محسوبة على أعلى تقدير بدوام كامل (On-Demand).</t>
        </is>
      </c>
    </row>
    <row r="3"/>
    <row r="4" ht="30" customHeight="1">
      <c r="A4" s="3" t="inlineStr">
        <is>
          <t>المكون السحابي</t>
        </is>
      </c>
      <c r="B4" s="3" t="inlineStr">
        <is>
          <t>مواصفات AWS</t>
        </is>
      </c>
      <c r="C4" s="3" t="inlineStr">
        <is>
          <t>تكلفة AWS شهرياً ($ USD)</t>
        </is>
      </c>
      <c r="D4" s="3" t="inlineStr">
        <is>
          <t>تكلفة AWS شهرياً (JOD)</t>
        </is>
      </c>
      <c r="E4" s="3" t="inlineStr">
        <is>
          <t>مواصفات GCP</t>
        </is>
      </c>
      <c r="F4" s="3" t="inlineStr">
        <is>
          <t>تكلفة GCP شهرياً ($ USD)</t>
        </is>
      </c>
      <c r="G4" s="3" t="inlineStr">
        <is>
          <t>تكلفة GCP شهرياً (JOD)</t>
        </is>
      </c>
    </row>
    <row r="5" ht="25" customHeight="1">
      <c r="A5" s="4" t="inlineStr">
        <is>
          <t>المستوى الأول: الشركات الناشئة (حتى 1,000 مستخدم نشط MAUs)</t>
        </is>
      </c>
    </row>
    <row r="6" ht="22" customHeight="1">
      <c r="A6" s="5" t="inlineStr">
        <is>
          <t>واجهة المستخدم (Next.js)</t>
        </is>
      </c>
      <c r="B6" s="6" t="inlineStr">
        <is>
          <t>Fargate (0.25 vCPU, 0.5 GB RAM)</t>
        </is>
      </c>
      <c r="C6" s="7" t="n">
        <v>9.01</v>
      </c>
      <c r="D6" s="8">
        <f>C6*0.709</f>
        <v/>
      </c>
      <c r="E6" s="6" t="inlineStr">
        <is>
          <t>Cloud Run (0.25 vCPU, 0.5 GB RAM)</t>
        </is>
      </c>
      <c r="F6" s="7" t="n">
        <v>14.72</v>
      </c>
      <c r="G6" s="8">
        <f>F6*0.709</f>
        <v/>
      </c>
    </row>
    <row r="7" ht="22" customHeight="1">
      <c r="A7" s="9" t="inlineStr">
        <is>
          <t>الخلفية (Django Backend)</t>
        </is>
      </c>
      <c r="B7" s="10" t="inlineStr">
        <is>
          <t>Fargate (0.25 vCPU, 0.5 GB RAM)</t>
        </is>
      </c>
      <c r="C7" s="11" t="n">
        <v>9.01</v>
      </c>
      <c r="D7" s="12">
        <f>C7*0.709</f>
        <v/>
      </c>
      <c r="E7" s="10" t="inlineStr">
        <is>
          <t>Cloud Run (0.25 vCPU, 0.5 GB RAM)</t>
        </is>
      </c>
      <c r="F7" s="11" t="n">
        <v>14.72</v>
      </c>
      <c r="G7" s="12">
        <f>F7*0.709</f>
        <v/>
      </c>
    </row>
    <row r="8" ht="22" customHeight="1">
      <c r="A8" s="5" t="inlineStr">
        <is>
          <t>المهام الخلفية (Celery Worker)</t>
        </is>
      </c>
      <c r="B8" s="6" t="inlineStr">
        <is>
          <t>Fargate (0.25 vCPU, 0.5 GB RAM)</t>
        </is>
      </c>
      <c r="C8" s="7" t="n">
        <v>9.01</v>
      </c>
      <c r="D8" s="8">
        <f>C8*0.709</f>
        <v/>
      </c>
      <c r="E8" s="6" t="inlineStr">
        <is>
          <t>Cloud Run (0.25 vCPU, 0.5 GB RAM)</t>
        </is>
      </c>
      <c r="F8" s="7" t="n">
        <v>14.72</v>
      </c>
      <c r="G8" s="8">
        <f>F8*0.709</f>
        <v/>
      </c>
    </row>
    <row r="9" ht="22" customHeight="1">
      <c r="A9" s="9" t="inlineStr">
        <is>
          <t>مجدول المهام (Celery Beat)</t>
        </is>
      </c>
      <c r="B9" s="10" t="inlineStr">
        <is>
          <t>Fargate (0.25 vCPU, 0.5 GB RAM)</t>
        </is>
      </c>
      <c r="C9" s="11" t="n">
        <v>9.01</v>
      </c>
      <c r="D9" s="12">
        <f>C9*0.709</f>
        <v/>
      </c>
      <c r="E9" s="10" t="inlineStr">
        <is>
          <t>Cloud Run (0.25 vCPU, 0.5 GB RAM)</t>
        </is>
      </c>
      <c r="F9" s="11" t="n">
        <v>14.72</v>
      </c>
      <c r="G9" s="12">
        <f>F9*0.709</f>
        <v/>
      </c>
    </row>
    <row r="10" ht="22" customHeight="1">
      <c r="A10" s="5" t="inlineStr">
        <is>
          <t>ذاكرة التخزين المؤقت (Redis)</t>
        </is>
      </c>
      <c r="B10" s="6" t="inlineStr">
        <is>
          <t>Fargate Redis Task (0.25 vCPU, 0.5 GB RAM)</t>
        </is>
      </c>
      <c r="C10" s="7" t="n">
        <v>9.01</v>
      </c>
      <c r="D10" s="8">
        <f>C10*0.709</f>
        <v/>
      </c>
      <c r="E10" s="6" t="inlineStr">
        <is>
          <t>Cloud Run Redis Instance</t>
        </is>
      </c>
      <c r="F10" s="7" t="n">
        <v>14.72</v>
      </c>
      <c r="G10" s="8">
        <f>F10*0.709</f>
        <v/>
      </c>
    </row>
    <row r="11" ht="22" customHeight="1">
      <c r="A11" s="9" t="inlineStr">
        <is>
          <t>قاعدة البيانات (PostgreSQL)</t>
        </is>
      </c>
      <c r="B11" s="10" t="inlineStr">
        <is>
          <t>RDS db.t4g.micro (Single-AZ, 20GB SSD)</t>
        </is>
      </c>
      <c r="C11" s="11" t="n">
        <v>13.98</v>
      </c>
      <c r="D11" s="12">
        <f>C11*0.709</f>
        <v/>
      </c>
      <c r="E11" s="10" t="inlineStr">
        <is>
          <t>Cloud SQL db-g1-small (1.7GB RAM, 20GB SSD)</t>
        </is>
      </c>
      <c r="F11" s="11" t="n">
        <v>28.95</v>
      </c>
      <c r="G11" s="12">
        <f>F11*0.709</f>
        <v/>
      </c>
    </row>
    <row r="12" ht="22" customHeight="1">
      <c r="A12" s="5" t="inlineStr">
        <is>
          <t>موزع الأحمال (Load Balancer)</t>
        </is>
      </c>
      <c r="B12" s="6" t="inlineStr">
        <is>
          <t>1 ALB (Application Load Balancer)</t>
        </is>
      </c>
      <c r="C12" s="7" t="n">
        <v>22.27</v>
      </c>
      <c r="D12" s="8">
        <f>C12*0.709</f>
        <v/>
      </c>
      <c r="E12" s="6" t="inlineStr">
        <is>
          <t>Cloud Load Balancing</t>
        </is>
      </c>
      <c r="F12" s="7" t="n">
        <v>20.25</v>
      </c>
      <c r="G12" s="8">
        <f>F12*0.709</f>
        <v/>
      </c>
    </row>
    <row r="13" ht="22" customHeight="1">
      <c r="A13" s="9" t="inlineStr">
        <is>
          <t>تخزين الملفات (S3 / Storage)</t>
        </is>
      </c>
      <c r="B13" s="10" t="inlineStr">
        <is>
          <t>Amazon S3 (50 GB storage &amp; transfer)</t>
        </is>
      </c>
      <c r="C13" s="11" t="n">
        <v>3.15</v>
      </c>
      <c r="D13" s="12">
        <f>C13*0.709</f>
        <v/>
      </c>
      <c r="E13" s="10" t="inlineStr">
        <is>
          <t>Cloud Storage (50 GB storage &amp; transfer)</t>
        </is>
      </c>
      <c r="F13" s="11" t="n">
        <v>3</v>
      </c>
      <c r="G13" s="12">
        <f>F13*0.709</f>
        <v/>
      </c>
    </row>
    <row r="14" ht="22" customHeight="1">
      <c r="A14" s="5" t="inlineStr">
        <is>
          <t>شبكة توصيل المحتوى (CDN)</t>
        </is>
      </c>
      <c r="B14" s="6" t="inlineStr">
        <is>
          <t>CloudFront (100 GB transfer)</t>
        </is>
      </c>
      <c r="C14" s="7" t="n">
        <v>3</v>
      </c>
      <c r="D14" s="8">
        <f>C14*0.709</f>
        <v/>
      </c>
      <c r="E14" s="6" t="inlineStr">
        <is>
          <t>Cloud CDN (100 GB transfer)</t>
        </is>
      </c>
      <c r="F14" s="7" t="n">
        <v>3</v>
      </c>
      <c r="G14" s="8">
        <f>F14*0.709</f>
        <v/>
      </c>
    </row>
    <row r="15" ht="22" customHeight="1">
      <c r="A15" s="9" t="inlineStr">
        <is>
          <t>تكاليف متنوعة (DNS/Monitoring)</t>
        </is>
      </c>
      <c r="B15" s="10" t="inlineStr">
        <is>
          <t>Route 53, CloudWatch, ACM</t>
        </is>
      </c>
      <c r="C15" s="11" t="n">
        <v>5</v>
      </c>
      <c r="D15" s="12">
        <f>C15*0.709</f>
        <v/>
      </c>
      <c r="E15" s="10" t="inlineStr">
        <is>
          <t>Cloud DNS, Monitoring &amp; Logging</t>
        </is>
      </c>
      <c r="F15" s="11" t="n">
        <v>5</v>
      </c>
      <c r="G15" s="12">
        <f>F15*0.709</f>
        <v/>
      </c>
    </row>
    <row r="16" ht="25" customHeight="1">
      <c r="A16" s="13" t="inlineStr">
        <is>
          <t>إجمالي تكاليف البنية التحتية</t>
        </is>
      </c>
      <c r="B16" s="14" t="n"/>
      <c r="C16" s="15">
        <f>SUM(C6:C15)</f>
        <v/>
      </c>
      <c r="D16" s="16">
        <f>SUM(D6:D15)</f>
        <v/>
      </c>
      <c r="E16" s="14" t="n"/>
      <c r="F16" s="15">
        <f>SUM(F6:F15)</f>
        <v/>
      </c>
      <c r="G16" s="16">
        <f>SUM(G6:G15)</f>
        <v/>
      </c>
    </row>
    <row r="17"/>
    <row r="18"/>
    <row r="19" ht="25" customHeight="1">
      <c r="A19" s="4" t="inlineStr">
        <is>
          <t>المستوى الثاني: مرحلة النمو (حتى 10,000 مستخدم نشط MAUs)</t>
        </is>
      </c>
    </row>
    <row r="20" ht="22" customHeight="1">
      <c r="A20" s="5" t="inlineStr">
        <is>
          <t>واجهة المستخدم (Next.js)</t>
        </is>
      </c>
      <c r="B20" s="6" t="inlineStr">
        <is>
          <t>2 Fargate Tasks (0.5 vCPU, 1 GB RAM) - HA</t>
        </is>
      </c>
      <c r="C20" s="7" t="n">
        <v>36.04</v>
      </c>
      <c r="D20" s="8">
        <f>C20*0.709</f>
        <v/>
      </c>
      <c r="E20" s="6" t="inlineStr">
        <is>
          <t>2 Cloud Run Instances (0.5 vCPU, 1 GB RAM)</t>
        </is>
      </c>
      <c r="F20" s="7" t="n">
        <v>58.87</v>
      </c>
      <c r="G20" s="8">
        <f>F20*0.709</f>
        <v/>
      </c>
    </row>
    <row r="21" ht="22" customHeight="1">
      <c r="A21" s="9" t="inlineStr">
        <is>
          <t>الخلفية (Django Backend)</t>
        </is>
      </c>
      <c r="B21" s="10" t="inlineStr">
        <is>
          <t>2 Fargate Tasks (1 vCPU, 2 GB RAM) - HA</t>
        </is>
      </c>
      <c r="C21" s="11" t="n">
        <v>72.08</v>
      </c>
      <c r="D21" s="12">
        <f>C21*0.709</f>
        <v/>
      </c>
      <c r="E21" s="10" t="inlineStr">
        <is>
          <t>2 Cloud Run Instances (1 vCPU, 2 GB RAM)</t>
        </is>
      </c>
      <c r="F21" s="11" t="n">
        <v>117.73</v>
      </c>
      <c r="G21" s="12">
        <f>F21*0.709</f>
        <v/>
      </c>
    </row>
    <row r="22" ht="22" customHeight="1">
      <c r="A22" s="5" t="inlineStr">
        <is>
          <t>المهام الخلفية (Celery Worker)</t>
        </is>
      </c>
      <c r="B22" s="6" t="inlineStr">
        <is>
          <t>2 Fargate Tasks (0.5 vCPU, 1 GB RAM)</t>
        </is>
      </c>
      <c r="C22" s="7" t="n">
        <v>36.04</v>
      </c>
      <c r="D22" s="8">
        <f>C22*0.709</f>
        <v/>
      </c>
      <c r="E22" s="6" t="inlineStr">
        <is>
          <t>2 Cloud Run Instances (0.5 vCPU, 1 GB RAM)</t>
        </is>
      </c>
      <c r="F22" s="7" t="n">
        <v>58.87</v>
      </c>
      <c r="G22" s="8">
        <f>F22*0.709</f>
        <v/>
      </c>
    </row>
    <row r="23" ht="22" customHeight="1">
      <c r="A23" s="9" t="inlineStr">
        <is>
          <t>مجدول المهام (Celery Beat)</t>
        </is>
      </c>
      <c r="B23" s="10" t="inlineStr">
        <is>
          <t>1 Fargate Task (0.25 vCPU, 0.5 GB RAM)</t>
        </is>
      </c>
      <c r="C23" s="11" t="n">
        <v>9.01</v>
      </c>
      <c r="D23" s="12">
        <f>C23*0.709</f>
        <v/>
      </c>
      <c r="E23" s="10" t="inlineStr">
        <is>
          <t>1 Cloud Run Instance (0.25 vCPU, 0.5 GB RAM)</t>
        </is>
      </c>
      <c r="F23" s="11" t="n">
        <v>14.72</v>
      </c>
      <c r="G23" s="12">
        <f>F23*0.709</f>
        <v/>
      </c>
    </row>
    <row r="24" ht="22" customHeight="1">
      <c r="A24" s="5" t="inlineStr">
        <is>
          <t>قاعدة البيانات (PostgreSQL)</t>
        </is>
      </c>
      <c r="B24" s="6" t="inlineStr">
        <is>
          <t>RDS db.t4g.medium (Multi-AZ, 50GB SSD)</t>
        </is>
      </c>
      <c r="C24" s="7" t="n">
        <v>110.78</v>
      </c>
      <c r="D24" s="8">
        <f>C24*0.709</f>
        <v/>
      </c>
      <c r="E24" s="6" t="inlineStr">
        <is>
          <t>Cloud SQL Custom (2 vCPU, 4GB RAM, HA, 50GB)</t>
        </is>
      </c>
      <c r="F24" s="7" t="n">
        <v>178.48</v>
      </c>
      <c r="G24" s="8">
        <f>F24*0.709</f>
        <v/>
      </c>
    </row>
    <row r="25" ht="22" customHeight="1">
      <c r="A25" s="9" t="inlineStr">
        <is>
          <t>ذاكرة التخزين المؤقت (Redis)</t>
        </is>
      </c>
      <c r="B25" s="10" t="inlineStr">
        <is>
          <t>ElastiCache cache.t4g.small (Multi-AZ)</t>
        </is>
      </c>
      <c r="C25" s="11" t="n">
        <v>49.64</v>
      </c>
      <c r="D25" s="12">
        <f>C25*0.709</f>
        <v/>
      </c>
      <c r="E25" s="10" t="inlineStr">
        <is>
          <t>Memorystore Redis Standard (HA, 1.37GB RAM)</t>
        </is>
      </c>
      <c r="F25" s="11" t="n">
        <v>98.01000000000001</v>
      </c>
      <c r="G25" s="12">
        <f>F25*0.709</f>
        <v/>
      </c>
    </row>
    <row r="26" ht="22" customHeight="1">
      <c r="A26" s="5" t="inlineStr">
        <is>
          <t>موزع الأحمال (Load Balancer)</t>
        </is>
      </c>
      <c r="B26" s="6" t="inlineStr">
        <is>
          <t>1 ALB (2 LCU avg)</t>
        </is>
      </c>
      <c r="C26" s="7" t="n">
        <v>28.11</v>
      </c>
      <c r="D26" s="8">
        <f>C26*0.709</f>
        <v/>
      </c>
      <c r="E26" s="6" t="inlineStr">
        <is>
          <t>Cloud Load Balancing</t>
        </is>
      </c>
      <c r="F26" s="7" t="n">
        <v>28.25</v>
      </c>
      <c r="G26" s="8">
        <f>F26*0.709</f>
        <v/>
      </c>
    </row>
    <row r="27" ht="22" customHeight="1">
      <c r="A27" s="9" t="inlineStr">
        <is>
          <t>بوابة العناوين (NAT Gateway)</t>
        </is>
      </c>
      <c r="B27" s="10" t="inlineStr">
        <is>
          <t>2 NAT Gateways (Multi-AZ)</t>
        </is>
      </c>
      <c r="C27" s="11" t="n">
        <v>65.7</v>
      </c>
      <c r="D27" s="12">
        <f>C27*0.709</f>
        <v/>
      </c>
      <c r="E27" s="10" t="inlineStr">
        <is>
          <t>Cloud NAT Gateway</t>
        </is>
      </c>
      <c r="F27" s="11" t="n">
        <v>10</v>
      </c>
      <c r="G27" s="12">
        <f>F27*0.709</f>
        <v/>
      </c>
    </row>
    <row r="28" ht="22" customHeight="1">
      <c r="A28" s="5" t="inlineStr">
        <is>
          <t>تخزين الملفات (S3 / Storage)</t>
        </is>
      </c>
      <c r="B28" s="6" t="inlineStr">
        <is>
          <t>Amazon S3 (200 GB storage &amp; transfer)</t>
        </is>
      </c>
      <c r="C28" s="7" t="n">
        <v>14.6</v>
      </c>
      <c r="D28" s="8">
        <f>C28*0.709</f>
        <v/>
      </c>
      <c r="E28" s="6" t="inlineStr">
        <is>
          <t>Cloud Storage (200 GB storage &amp; transfer)</t>
        </is>
      </c>
      <c r="F28" s="7" t="n">
        <v>14</v>
      </c>
      <c r="G28" s="8">
        <f>F28*0.709</f>
        <v/>
      </c>
    </row>
    <row r="29" ht="22" customHeight="1">
      <c r="A29" s="9" t="inlineStr">
        <is>
          <t>شبكة توصيل المحتوى (CDN)</t>
        </is>
      </c>
      <c r="B29" s="10" t="inlineStr">
        <is>
          <t>CloudFront (500 GB transfer)</t>
        </is>
      </c>
      <c r="C29" s="11" t="n">
        <v>15</v>
      </c>
      <c r="D29" s="12">
        <f>C29*0.709</f>
        <v/>
      </c>
      <c r="E29" s="10" t="inlineStr">
        <is>
          <t>Cloud CDN (500 GB transfer)</t>
        </is>
      </c>
      <c r="F29" s="11" t="n">
        <v>15</v>
      </c>
      <c r="G29" s="12">
        <f>F29*0.709</f>
        <v/>
      </c>
    </row>
    <row r="30" ht="22" customHeight="1">
      <c r="A30" s="5" t="inlineStr">
        <is>
          <t>تكاليف متنوعة (DNS/Monitoring)</t>
        </is>
      </c>
      <c r="B30" s="6" t="inlineStr">
        <is>
          <t>Route 53, CloudWatch, KMS</t>
        </is>
      </c>
      <c r="C30" s="7" t="n">
        <v>15</v>
      </c>
      <c r="D30" s="8">
        <f>C30*0.709</f>
        <v/>
      </c>
      <c r="E30" s="6" t="inlineStr">
        <is>
          <t>Cloud DNS, Cloud KMS, Logs</t>
        </is>
      </c>
      <c r="F30" s="7" t="n">
        <v>15</v>
      </c>
      <c r="G30" s="8">
        <f>F30*0.709</f>
        <v/>
      </c>
    </row>
    <row r="31" ht="25" customHeight="1">
      <c r="A31" s="13" t="inlineStr">
        <is>
          <t>إجمالي تكاليف البنية التحتية</t>
        </is>
      </c>
      <c r="B31" s="14" t="n"/>
      <c r="C31" s="15">
        <f>SUM(C20:C30)</f>
        <v/>
      </c>
      <c r="D31" s="16">
        <f>SUM(D20:D30)</f>
        <v/>
      </c>
      <c r="E31" s="14" t="n"/>
      <c r="F31" s="15">
        <f>SUM(F20:F30)</f>
        <v/>
      </c>
      <c r="G31" s="16">
        <f>SUM(G20:G30)</f>
        <v/>
      </c>
    </row>
    <row r="32"/>
    <row r="33"/>
    <row r="34" ht="25" customHeight="1">
      <c r="A34" s="4" t="inlineStr">
        <is>
          <t>المستوى الثالث: مرحلة التوسع والمؤسسات (حتى 50,000 مستخدم نشط MAUs)</t>
        </is>
      </c>
    </row>
    <row r="35" ht="22" customHeight="1">
      <c r="A35" s="5" t="inlineStr">
        <is>
          <t>واجهة المستخدم (Next.js)</t>
        </is>
      </c>
      <c r="B35" s="6" t="inlineStr">
        <is>
          <t>4 Fargate Tasks (1 vCPU, 2 GB RAM)</t>
        </is>
      </c>
      <c r="C35" s="7" t="n">
        <v>144.16</v>
      </c>
      <c r="D35" s="8">
        <f>C35*0.709</f>
        <v/>
      </c>
      <c r="E35" s="6" t="inlineStr">
        <is>
          <t>4 Cloud Run Instances (1 vCPU, 2 GB RAM)</t>
        </is>
      </c>
      <c r="F35" s="7" t="n">
        <v>235.47</v>
      </c>
      <c r="G35" s="8">
        <f>F35*0.709</f>
        <v/>
      </c>
    </row>
    <row r="36" ht="22" customHeight="1">
      <c r="A36" s="9" t="inlineStr">
        <is>
          <t>الخلفية (Django Backend)</t>
        </is>
      </c>
      <c r="B36" s="10" t="inlineStr">
        <is>
          <t>4 Fargate Tasks (2 vCPU, 4 GB RAM)</t>
        </is>
      </c>
      <c r="C36" s="11" t="n">
        <v>288.32</v>
      </c>
      <c r="D36" s="12">
        <f>C36*0.709</f>
        <v/>
      </c>
      <c r="E36" s="10" t="inlineStr">
        <is>
          <t>4 Cloud Run Instances (2 vCPU, 4 GB RAM)</t>
        </is>
      </c>
      <c r="F36" s="11" t="n">
        <v>470.94</v>
      </c>
      <c r="G36" s="12">
        <f>F36*0.709</f>
        <v/>
      </c>
    </row>
    <row r="37" ht="22" customHeight="1">
      <c r="A37" s="5" t="inlineStr">
        <is>
          <t>المهام الخلفية (Celery Worker)</t>
        </is>
      </c>
      <c r="B37" s="6" t="inlineStr">
        <is>
          <t>4 Fargate Tasks (1 vCPU, 2 GB RAM)</t>
        </is>
      </c>
      <c r="C37" s="7" t="n">
        <v>144.16</v>
      </c>
      <c r="D37" s="8">
        <f>C37*0.709</f>
        <v/>
      </c>
      <c r="E37" s="6" t="inlineStr">
        <is>
          <t>4 Cloud Run Instances (1 vCPU, 2 GB RAM)</t>
        </is>
      </c>
      <c r="F37" s="7" t="n">
        <v>235.47</v>
      </c>
      <c r="G37" s="8">
        <f>F37*0.709</f>
        <v/>
      </c>
    </row>
    <row r="38" ht="22" customHeight="1">
      <c r="A38" s="9" t="inlineStr">
        <is>
          <t>مجدول المهام (Celery Beat)</t>
        </is>
      </c>
      <c r="B38" s="10" t="inlineStr">
        <is>
          <t>1 Fargate Task (0.5 vCPU, 1.0 GB RAM)</t>
        </is>
      </c>
      <c r="C38" s="11" t="n">
        <v>18.02</v>
      </c>
      <c r="D38" s="12">
        <f>C38*0.709</f>
        <v/>
      </c>
      <c r="E38" s="10" t="inlineStr">
        <is>
          <t>1 Cloud Run Instance (0.5 vCPU, 1.0 GB RAM)</t>
        </is>
      </c>
      <c r="F38" s="11" t="n">
        <v>29.43</v>
      </c>
      <c r="G38" s="12">
        <f>F38*0.709</f>
        <v/>
      </c>
    </row>
    <row r="39" ht="22" customHeight="1">
      <c r="A39" s="5" t="inlineStr">
        <is>
          <t>قاعدة البيانات (PostgreSQL)</t>
        </is>
      </c>
      <c r="B39" s="6" t="inlineStr">
        <is>
          <t>RDS db.m6g.large (Multi-AZ, 200GB SSD)</t>
        </is>
      </c>
      <c r="C39" s="7" t="n">
        <v>333.62</v>
      </c>
      <c r="D39" s="8">
        <f>C39*0.709</f>
        <v/>
      </c>
      <c r="E39" s="6" t="inlineStr">
        <is>
          <t>Cloud SQL Custom (2 vCPU, 8GB RAM, HA, 200GB)</t>
        </is>
      </c>
      <c r="F39" s="7" t="n">
        <v>270.36</v>
      </c>
      <c r="G39" s="8">
        <f>F39*0.709</f>
        <v/>
      </c>
    </row>
    <row r="40" ht="22" customHeight="1">
      <c r="A40" s="9" t="inlineStr">
        <is>
          <t>ذاكرة التخزين المؤقت (Redis)</t>
        </is>
      </c>
      <c r="B40" s="10" t="inlineStr">
        <is>
          <t>ElastiCache cache.m6g.large (Multi-AZ)</t>
        </is>
      </c>
      <c r="C40" s="11" t="n">
        <v>227.76</v>
      </c>
      <c r="D40" s="12">
        <f>C40*0.709</f>
        <v/>
      </c>
      <c r="E40" s="10" t="inlineStr">
        <is>
          <t>Memorystore Redis Standard (HA, 6.38GB RAM)</t>
        </is>
      </c>
      <c r="F40" s="11" t="n">
        <v>456.43</v>
      </c>
      <c r="G40" s="12">
        <f>F40*0.709</f>
        <v/>
      </c>
    </row>
    <row r="41" ht="22" customHeight="1">
      <c r="A41" s="5" t="inlineStr">
        <is>
          <t>موزع الأحمال (Load Balancer)</t>
        </is>
      </c>
      <c r="B41" s="6" t="inlineStr">
        <is>
          <t>1 ALB (10 LCU avg)</t>
        </is>
      </c>
      <c r="C41" s="7" t="n">
        <v>74.83</v>
      </c>
      <c r="D41" s="8">
        <f>C41*0.709</f>
        <v/>
      </c>
      <c r="E41" s="6" t="inlineStr">
        <is>
          <t>Cloud Load Balancing</t>
        </is>
      </c>
      <c r="F41" s="7" t="n">
        <v>68.25</v>
      </c>
      <c r="G41" s="8">
        <f>F41*0.709</f>
        <v/>
      </c>
    </row>
    <row r="42" ht="22" customHeight="1">
      <c r="A42" s="9" t="inlineStr">
        <is>
          <t>بوابة العناوين (NAT Gateway)</t>
        </is>
      </c>
      <c r="B42" s="10" t="inlineStr">
        <is>
          <t>2 NAT Gateways (Multi-AZ)</t>
        </is>
      </c>
      <c r="C42" s="11" t="n">
        <v>65.7</v>
      </c>
      <c r="D42" s="12">
        <f>C42*0.709</f>
        <v/>
      </c>
      <c r="E42" s="10" t="inlineStr">
        <is>
          <t>Cloud NAT Gateway</t>
        </is>
      </c>
      <c r="F42" s="11" t="n">
        <v>15</v>
      </c>
      <c r="G42" s="12">
        <f>F42*0.709</f>
        <v/>
      </c>
    </row>
    <row r="43" ht="22" customHeight="1">
      <c r="A43" s="5" t="inlineStr">
        <is>
          <t>تخزين الملفات (S3 / Storage)</t>
        </is>
      </c>
      <c r="B43" s="6" t="inlineStr">
        <is>
          <t>Amazon S3 (1 TB storage &amp; transfer)</t>
        </is>
      </c>
      <c r="C43" s="7" t="n">
        <v>73</v>
      </c>
      <c r="D43" s="8">
        <f>C43*0.709</f>
        <v/>
      </c>
      <c r="E43" s="6" t="inlineStr">
        <is>
          <t>Cloud Storage (1 TB storage &amp; transfer)</t>
        </is>
      </c>
      <c r="F43" s="7" t="n">
        <v>70</v>
      </c>
      <c r="G43" s="8">
        <f>F43*0.709</f>
        <v/>
      </c>
    </row>
    <row r="44" ht="22" customHeight="1">
      <c r="A44" s="9" t="inlineStr">
        <is>
          <t>شبكة توصيل المحتوى (CDN)</t>
        </is>
      </c>
      <c r="B44" s="10" t="inlineStr">
        <is>
          <t>CloudFront (2 TB transfer)</t>
        </is>
      </c>
      <c r="C44" s="11" t="n">
        <v>50</v>
      </c>
      <c r="D44" s="12">
        <f>C44*0.709</f>
        <v/>
      </c>
      <c r="E44" s="10" t="inlineStr">
        <is>
          <t>Cloud CDN (2 TB transfer)</t>
        </is>
      </c>
      <c r="F44" s="11" t="n">
        <v>50</v>
      </c>
      <c r="G44" s="12">
        <f>F44*0.709</f>
        <v/>
      </c>
    </row>
    <row r="45" ht="22" customHeight="1">
      <c r="A45" s="5" t="inlineStr">
        <is>
          <t>تكاليف متنوعة (DNS/WAF)</t>
        </is>
      </c>
      <c r="B45" s="6" t="inlineStr">
        <is>
          <t>Route 53, CloudWatch, WAF</t>
        </is>
      </c>
      <c r="C45" s="7" t="n">
        <v>50</v>
      </c>
      <c r="D45" s="8">
        <f>C45*0.709</f>
        <v/>
      </c>
      <c r="E45" s="6" t="inlineStr">
        <is>
          <t>Cloud Armor (WAF), DNS, Logs</t>
        </is>
      </c>
      <c r="F45" s="7" t="n">
        <v>50</v>
      </c>
      <c r="G45" s="8">
        <f>F45*0.709</f>
        <v/>
      </c>
    </row>
    <row r="46" ht="25" customHeight="1">
      <c r="A46" s="13" t="inlineStr">
        <is>
          <t>إجمالي تكاليف البنية التحتية</t>
        </is>
      </c>
      <c r="B46" s="14" t="n"/>
      <c r="C46" s="15">
        <f>SUM(C35:C45)</f>
        <v/>
      </c>
      <c r="D46" s="16">
        <f>SUM(D35:D45)</f>
        <v/>
      </c>
      <c r="E46" s="14" t="n"/>
      <c r="F46" s="15">
        <f>SUM(F35:F45)</f>
        <v/>
      </c>
      <c r="G46" s="16">
        <f>SUM(G35:G45)</f>
        <v/>
      </c>
    </row>
  </sheetData>
  <mergeCells count="5">
    <mergeCell ref="A1:G1"/>
    <mergeCell ref="A34:G34"/>
    <mergeCell ref="A2:G2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rightToLeft="1" workbookViewId="0">
      <selection activeCell="A1" sqref="A1"/>
    </sheetView>
  </sheetViews>
  <sheetFormatPr baseColWidth="8" defaultRowHeight="15"/>
  <cols>
    <col width="79" customWidth="1" min="1" max="1"/>
    <col width="38" customWidth="1" min="2" max="2"/>
    <col width="38" customWidth="1" min="3" max="3"/>
    <col width="20" customWidth="1" min="4" max="4"/>
    <col width="27" customWidth="1" min="5" max="5"/>
    <col width="27" customWidth="1" min="6" max="6"/>
    <col width="27" customWidth="1" min="7" max="7"/>
    <col width="27" customWidth="1" min="8" max="8"/>
    <col width="33" customWidth="1" min="9" max="9"/>
  </cols>
  <sheetData>
    <row r="1" ht="40" customHeight="1">
      <c r="A1" s="17" t="inlineStr">
        <is>
          <t>إجمالي التكاليف التشغيلية الشهرية (بدون SMS وبدون صيانة مع إضافة الاحتياطي)</t>
        </is>
      </c>
    </row>
    <row r="2"/>
    <row r="3" ht="30" customHeight="1">
      <c r="A3" s="3" t="inlineStr">
        <is>
          <t>مستوى النمو (MAUs)</t>
        </is>
      </c>
      <c r="B3" s="3" t="inlineStr">
        <is>
          <t>البنية التحتية AWS (JOD)</t>
        </is>
      </c>
      <c r="C3" s="3" t="inlineStr">
        <is>
          <t>البنية التحتية GCP (JOD)</t>
        </is>
      </c>
      <c r="D3" s="3" t="inlineStr">
        <is>
          <t>اسم النطاق (JOD)</t>
        </is>
      </c>
      <c r="E3" s="3" t="inlineStr">
        <is>
          <t>البريد الإلكتروني (JOD)</t>
        </is>
      </c>
      <c r="F3" s="3" t="inlineStr">
        <is>
          <t>نسخ احتياطي وأمان (JOD)</t>
        </is>
      </c>
      <c r="G3" s="3" t="inlineStr">
        <is>
          <t>إجمالي مصاريف AWS (JOD)</t>
        </is>
      </c>
      <c r="H3" s="3" t="inlineStr">
        <is>
          <t>إجمالي مصاريف GCP (JOD)</t>
        </is>
      </c>
      <c r="I3" s="3" t="inlineStr">
        <is>
          <t>الفارق المالي لصالح AWS (JOD)</t>
        </is>
      </c>
    </row>
    <row r="4" ht="24" customHeight="1">
      <c r="A4" s="5" t="inlineStr">
        <is>
          <t>المستوى الأول (1k MAUs)</t>
        </is>
      </c>
      <c r="B4" s="8">
        <f>'البنية التحتية (AWS vs GCP)'!D16</f>
        <v/>
      </c>
      <c r="C4" s="8">
        <f>'البنية التحتية (AWS vs GCP)'!G16</f>
        <v/>
      </c>
      <c r="D4" s="8" t="n">
        <v>1</v>
      </c>
      <c r="E4" s="8" t="n">
        <v>0.35</v>
      </c>
      <c r="F4" s="8" t="n">
        <v>5</v>
      </c>
      <c r="G4" s="18">
        <f>B4+D4+E4+F4</f>
        <v/>
      </c>
      <c r="H4" s="18">
        <f>C4+D4+E4+F4</f>
        <v/>
      </c>
      <c r="I4" s="19">
        <f>H4-G4</f>
        <v/>
      </c>
    </row>
    <row r="5" ht="24" customHeight="1">
      <c r="A5" s="5" t="inlineStr">
        <is>
          <t>المستوى الثاني (10k MAUs)</t>
        </is>
      </c>
      <c r="B5" s="8">
        <f>'البنية التحتية (AWS vs GCP)'!D30</f>
        <v/>
      </c>
      <c r="C5" s="8">
        <f>'البنية التحتية (AWS vs GCP)'!G30</f>
        <v/>
      </c>
      <c r="D5" s="8" t="n">
        <v>1</v>
      </c>
      <c r="E5" s="8" t="n">
        <v>3.55</v>
      </c>
      <c r="F5" s="8" t="n">
        <v>15</v>
      </c>
      <c r="G5" s="18">
        <f>B5+D5+E5+F5</f>
        <v/>
      </c>
      <c r="H5" s="18">
        <f>C5+D5+E5+F5</f>
        <v/>
      </c>
      <c r="I5" s="19">
        <f>H5-G5</f>
        <v/>
      </c>
    </row>
    <row r="6" ht="24" customHeight="1">
      <c r="A6" s="5" t="inlineStr">
        <is>
          <t>المستوى الثالث (50k MAUs)</t>
        </is>
      </c>
      <c r="B6" s="8">
        <f>'البنية التحتية (AWS vs GCP)'!D44</f>
        <v/>
      </c>
      <c r="C6" s="8">
        <f>'البنية التحتية (AWS vs GCP)'!G44</f>
        <v/>
      </c>
      <c r="D6" s="8" t="n">
        <v>1</v>
      </c>
      <c r="E6" s="8" t="n">
        <v>17.73</v>
      </c>
      <c r="F6" s="8" t="n">
        <v>50</v>
      </c>
      <c r="G6" s="18">
        <f>B6+D6+E6+F6</f>
        <v/>
      </c>
      <c r="H6" s="18">
        <f>C6+D6+E6+F6</f>
        <v/>
      </c>
      <c r="I6" s="19">
        <f>H6-G6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rightToLeft="1" workbookViewId="0">
      <selection activeCell="A1" sqref="A1"/>
    </sheetView>
  </sheetViews>
  <sheetFormatPr baseColWidth="8" defaultRowHeight="15"/>
  <cols>
    <col width="62" customWidth="1" min="1" max="1"/>
    <col width="25" customWidth="1" min="2" max="2"/>
    <col width="37" customWidth="1" min="3" max="3"/>
    <col width="37" customWidth="1" min="4" max="4"/>
    <col width="38" customWidth="1" min="5" max="5"/>
    <col width="29" customWidth="1" min="6" max="6"/>
    <col width="25" customWidth="1" min="7" max="7"/>
    <col width="37" customWidth="1" min="8" max="8"/>
    <col width="30" customWidth="1" min="9" max="9"/>
  </cols>
  <sheetData>
    <row r="1" ht="40" customHeight="1">
      <c r="A1" s="17" t="inlineStr">
        <is>
          <t>جدول باقات الحد الأدنى للتسعير ومحاكاة الأرباح الصافية</t>
        </is>
      </c>
    </row>
    <row r="2"/>
    <row r="3" ht="25" customHeight="1">
      <c r="A3" s="4" t="inlineStr">
        <is>
          <t>1. هيكل تسعير باقات الحد الأدنى ومحدداتها</t>
        </is>
      </c>
    </row>
    <row r="4"/>
    <row r="5" ht="30" customHeight="1">
      <c r="A5" s="3" t="inlineStr">
        <is>
          <t>اسم الباقة</t>
        </is>
      </c>
      <c r="B5" s="3" t="inlineStr">
        <is>
          <t>السعر شهرياً (JOD)</t>
        </is>
      </c>
      <c r="C5" s="3" t="inlineStr">
        <is>
          <t>السعر سنوياً (JOD)</t>
        </is>
      </c>
      <c r="D5" s="3" t="inlineStr">
        <is>
          <t>عمولة الإحالة</t>
        </is>
      </c>
      <c r="E5" s="3" t="inlineStr">
        <is>
          <t>قيمة العمولة شهرياً (JOD)</t>
        </is>
      </c>
      <c r="F5" s="3" t="inlineStr">
        <is>
          <t>صافي إيراد المنصة/مشترك</t>
        </is>
      </c>
      <c r="G5" s="3" t="inlineStr">
        <is>
          <t>الحد الأقصى للطلاب</t>
        </is>
      </c>
      <c r="H5" s="3" t="inlineStr">
        <is>
          <t>الحد الأقصى للموظفين</t>
        </is>
      </c>
      <c r="I5" s="3" t="inlineStr">
        <is>
          <t>الحد الأقصى للفروع</t>
        </is>
      </c>
    </row>
    <row r="6" ht="24" customHeight="1">
      <c r="A6" s="5" t="inlineStr">
        <is>
          <t>باقة البداية (Basic Plan)</t>
        </is>
      </c>
      <c r="B6" s="8" t="n">
        <v>15</v>
      </c>
      <c r="C6" s="8" t="n">
        <v>153</v>
      </c>
      <c r="D6" s="20" t="n">
        <v>0.1</v>
      </c>
      <c r="E6" s="8">
        <f>B6*D6</f>
        <v/>
      </c>
      <c r="F6" s="21">
        <f>B6-E6</f>
        <v/>
      </c>
      <c r="G6" s="22" t="n">
        <v>150</v>
      </c>
      <c r="H6" s="22" t="n">
        <v>5</v>
      </c>
      <c r="I6" s="22" t="n">
        <v>1</v>
      </c>
    </row>
    <row r="7" ht="24" customHeight="1">
      <c r="A7" s="5" t="inlineStr">
        <is>
          <t>باقة النمو (Growth Plan)</t>
        </is>
      </c>
      <c r="B7" s="8" t="n">
        <v>25</v>
      </c>
      <c r="C7" s="8" t="n">
        <v>255</v>
      </c>
      <c r="D7" s="20" t="n">
        <v>0.12</v>
      </c>
      <c r="E7" s="8">
        <f>B7*D7</f>
        <v/>
      </c>
      <c r="F7" s="21">
        <f>B7-E7</f>
        <v/>
      </c>
      <c r="G7" s="22" t="n">
        <v>600</v>
      </c>
      <c r="H7" s="22" t="n">
        <v>15</v>
      </c>
      <c r="I7" s="22" t="n">
        <v>3</v>
      </c>
    </row>
    <row r="8" ht="24" customHeight="1">
      <c r="A8" s="5" t="inlineStr">
        <is>
          <t>باقة الاحتراف (Enterprise)</t>
        </is>
      </c>
      <c r="B8" s="8" t="n">
        <v>45</v>
      </c>
      <c r="C8" s="8" t="n">
        <v>459</v>
      </c>
      <c r="D8" s="20" t="n">
        <v>0.15</v>
      </c>
      <c r="E8" s="8">
        <f>B8*D8</f>
        <v/>
      </c>
      <c r="F8" s="21">
        <f>B8-E8</f>
        <v/>
      </c>
      <c r="G8" s="22" t="n">
        <v>2000</v>
      </c>
      <c r="H8" s="22" t="inlineStr">
        <is>
          <t>غير محدود</t>
        </is>
      </c>
      <c r="I8" s="22" t="inlineStr">
        <is>
          <t>غير محدود</t>
        </is>
      </c>
    </row>
    <row r="9"/>
    <row r="10" ht="25" customHeight="1">
      <c r="A10" s="4" t="inlineStr">
        <is>
          <t>2. محاكاة الأرباح الشهرية ونقاط التعادل لباقات الحد الأدنى</t>
        </is>
      </c>
    </row>
    <row r="11"/>
    <row r="12" ht="30" customHeight="1">
      <c r="A12" s="3" t="inlineStr">
        <is>
          <t>باقة محاكاة المستوى</t>
        </is>
      </c>
      <c r="B12" s="3" t="inlineStr">
        <is>
          <t>عدد المشتركين المفترض</t>
        </is>
      </c>
      <c r="C12" s="3" t="inlineStr">
        <is>
          <t>إجمالي الإيرادات شهرياً (JOD)</t>
        </is>
      </c>
      <c r="D12" s="3" t="inlineStr">
        <is>
          <t>عمولات الإحالة شهرياً (JOD)</t>
        </is>
      </c>
      <c r="E12" s="3" t="inlineStr">
        <is>
          <t>مصاريف تشغيل المنصة (JOD)</t>
        </is>
      </c>
      <c r="F12" s="3" t="inlineStr">
        <is>
          <t>صافي الأرباح شهرياً (JOD)</t>
        </is>
      </c>
      <c r="G12" s="3" t="inlineStr">
        <is>
          <t>هامش الربح الصافي (%)</t>
        </is>
      </c>
      <c r="H12" s="3" t="inlineStr">
        <is>
          <t>المشتركون لنقطة التعادل</t>
        </is>
      </c>
      <c r="I12" s="3" t="inlineStr">
        <is>
          <t>ملاحظة</t>
        </is>
      </c>
    </row>
    <row r="13" ht="24" customHeight="1">
      <c r="A13" s="5" t="inlineStr">
        <is>
          <t>المستوى الأول (باقة البداية)</t>
        </is>
      </c>
      <c r="B13" s="22" t="n">
        <v>15</v>
      </c>
      <c r="C13" s="8">
        <f>B13*'تسعير باقات الحد الأدنى'!B6</f>
        <v/>
      </c>
      <c r="D13" s="8">
        <f>B13*'تسعير باقات الحد الأدنى'!E6</f>
        <v/>
      </c>
      <c r="E13" s="8">
        <f>'التكاليف التشغيلية الإجمالية'!G4</f>
        <v/>
      </c>
      <c r="F13" s="18">
        <f>C13-D13-E13</f>
        <v/>
      </c>
      <c r="G13" s="23">
        <f>F13/C13</f>
        <v/>
      </c>
      <c r="H13" s="24">
        <f>E13/'تسعير باقات الحد الأدنى'!F6</f>
        <v/>
      </c>
      <c r="I13" s="5" t="inlineStr">
        <is>
          <t>تغطية للمصاريف مع هامش جيد</t>
        </is>
      </c>
    </row>
    <row r="14" ht="24" customHeight="1">
      <c r="A14" s="5" t="inlineStr">
        <is>
          <t>المستوى الثاني (باقة النمو)</t>
        </is>
      </c>
      <c r="B14" s="22" t="n">
        <v>50</v>
      </c>
      <c r="C14" s="8">
        <f>B14*'تسعير باقات الحد الأدنى'!B7</f>
        <v/>
      </c>
      <c r="D14" s="8">
        <f>B14*'تسعير باقات الحد الأدنى'!E7</f>
        <v/>
      </c>
      <c r="E14" s="8">
        <f>'التكاليف التشغيلية الإجمالية'!G5</f>
        <v/>
      </c>
      <c r="F14" s="18">
        <f>C14-D14-E14</f>
        <v/>
      </c>
      <c r="G14" s="23">
        <f>F14/C14</f>
        <v/>
      </c>
      <c r="H14" s="24">
        <f>E14/'تسعير باقات الحد الأدنى'!F7</f>
        <v/>
      </c>
      <c r="I14" s="5" t="inlineStr">
        <is>
          <t>زيادة سريعة في الربحية</t>
        </is>
      </c>
    </row>
    <row r="15" ht="24" customHeight="1">
      <c r="A15" s="5" t="inlineStr">
        <is>
          <t>المستوى الثالث (الباقة الاحترافية)</t>
        </is>
      </c>
      <c r="B15" s="22" t="n">
        <v>150</v>
      </c>
      <c r="C15" s="8">
        <f>B15*'تسعير باقات الحد الأدنى'!B8</f>
        <v/>
      </c>
      <c r="D15" s="8">
        <f>B15*'تسعير باقات الحد الأدنى'!E8</f>
        <v/>
      </c>
      <c r="E15" s="8">
        <f>'التكاليف التشغيلية الإجمالية'!G6</f>
        <v/>
      </c>
      <c r="F15" s="18">
        <f>C15-D15-E15</f>
        <v/>
      </c>
      <c r="G15" s="23">
        <f>F15/C15</f>
        <v/>
      </c>
      <c r="H15" s="24">
        <f>E15/'تسعير باقات الحد الأدنى'!F8</f>
        <v/>
      </c>
      <c r="I15" s="5" t="inlineStr">
        <is>
          <t>هامش ربح مرتفع وتوسع كبير</t>
        </is>
      </c>
    </row>
  </sheetData>
  <mergeCells count="3">
    <mergeCell ref="A1:I1"/>
    <mergeCell ref="A3:I3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rightToLeft="1" workbookViewId="0">
      <selection activeCell="A1" sqref="A1"/>
    </sheetView>
  </sheetViews>
  <sheetFormatPr baseColWidth="8" defaultRowHeight="15"/>
  <cols>
    <col width="58" customWidth="1" min="1" max="1"/>
    <col width="25" customWidth="1" min="2" max="2"/>
    <col width="42" customWidth="1" min="3" max="3"/>
    <col width="42" customWidth="1" min="4" max="4"/>
    <col width="38" customWidth="1" min="5" max="5"/>
    <col width="29" customWidth="1" min="6" max="6"/>
    <col width="25" customWidth="1" min="7" max="7"/>
    <col width="42" customWidth="1" min="8" max="8"/>
    <col width="35" customWidth="1" min="9" max="9"/>
  </cols>
  <sheetData>
    <row r="1" ht="40" customHeight="1">
      <c r="A1" s="17" t="inlineStr">
        <is>
          <t>جدول باقات التسعير المقترح من خبراء السوق الأردني</t>
        </is>
      </c>
    </row>
    <row r="2"/>
    <row r="3" ht="25" customHeight="1">
      <c r="A3" s="4" t="inlineStr">
        <is>
          <t>1. هيكل تسعير الخبراء (توازن القيمة والانتشار بالأردن)</t>
        </is>
      </c>
    </row>
    <row r="4"/>
    <row r="5" ht="30" customHeight="1">
      <c r="A5" s="3" t="inlineStr">
        <is>
          <t>اسم الباقة</t>
        </is>
      </c>
      <c r="B5" s="3" t="inlineStr">
        <is>
          <t>السعر شهرياً (JOD)</t>
        </is>
      </c>
      <c r="C5" s="3" t="inlineStr">
        <is>
          <t>السعر سنوياً (JOD)</t>
        </is>
      </c>
      <c r="D5" s="3" t="inlineStr">
        <is>
          <t>عمولة الإحالة</t>
        </is>
      </c>
      <c r="E5" s="3" t="inlineStr">
        <is>
          <t>قيمة العمولة شهرياً (JOD)</t>
        </is>
      </c>
      <c r="F5" s="3" t="inlineStr">
        <is>
          <t>صافي إيراد المنصة/مشترك</t>
        </is>
      </c>
      <c r="G5" s="3" t="inlineStr">
        <is>
          <t>الحد الأقصى للطلاب</t>
        </is>
      </c>
      <c r="H5" s="3" t="inlineStr">
        <is>
          <t>الحد الأقصى للموظفين</t>
        </is>
      </c>
      <c r="I5" s="3" t="inlineStr">
        <is>
          <t>الحد الأقصى للفروع</t>
        </is>
      </c>
    </row>
    <row r="6" ht="24" customHeight="1">
      <c r="A6" s="5" t="inlineStr">
        <is>
          <t>باقة البداية (Basic Plan)</t>
        </is>
      </c>
      <c r="B6" s="8" t="n">
        <v>29</v>
      </c>
      <c r="C6" s="8" t="n">
        <v>296</v>
      </c>
      <c r="D6" s="20" t="n">
        <v>0.1</v>
      </c>
      <c r="E6" s="8">
        <f>B6*D6</f>
        <v/>
      </c>
      <c r="F6" s="21">
        <f>B6-E6</f>
        <v/>
      </c>
      <c r="G6" s="22" t="n">
        <v>150</v>
      </c>
      <c r="H6" s="22" t="n">
        <v>5</v>
      </c>
      <c r="I6" s="22" t="n">
        <v>1</v>
      </c>
    </row>
    <row r="7" ht="24" customHeight="1">
      <c r="A7" s="5" t="inlineStr">
        <is>
          <t>باقة النمو (Growth Plan)</t>
        </is>
      </c>
      <c r="B7" s="8" t="n">
        <v>59</v>
      </c>
      <c r="C7" s="8" t="n">
        <v>602</v>
      </c>
      <c r="D7" s="20" t="n">
        <v>0.12</v>
      </c>
      <c r="E7" s="8">
        <f>B7*D7</f>
        <v/>
      </c>
      <c r="F7" s="21">
        <f>B7-E7</f>
        <v/>
      </c>
      <c r="G7" s="22" t="n">
        <v>600</v>
      </c>
      <c r="H7" s="22" t="n">
        <v>15</v>
      </c>
      <c r="I7" s="22" t="n">
        <v>3</v>
      </c>
    </row>
    <row r="8" ht="24" customHeight="1">
      <c r="A8" s="5" t="inlineStr">
        <is>
          <t>باقة الاحتراف (Enterprise)</t>
        </is>
      </c>
      <c r="B8" s="8" t="n">
        <v>119</v>
      </c>
      <c r="C8" s="8" t="n">
        <v>1214</v>
      </c>
      <c r="D8" s="20" t="n">
        <v>0.15</v>
      </c>
      <c r="E8" s="8">
        <f>B8*D8</f>
        <v/>
      </c>
      <c r="F8" s="21">
        <f>B8-E8</f>
        <v/>
      </c>
      <c r="G8" s="22" t="n">
        <v>2000</v>
      </c>
      <c r="H8" s="22" t="inlineStr">
        <is>
          <t>غير محدود</t>
        </is>
      </c>
      <c r="I8" s="22" t="inlineStr">
        <is>
          <t>غير محدود</t>
        </is>
      </c>
    </row>
    <row r="9"/>
    <row r="10" ht="25" customHeight="1">
      <c r="A10" s="4" t="inlineStr">
        <is>
          <t>2. محاكاة الأرباح الشهرية ونقاط التعادل لتسعير الخبراء</t>
        </is>
      </c>
    </row>
    <row r="11"/>
    <row r="12" ht="30" customHeight="1">
      <c r="A12" s="3" t="inlineStr">
        <is>
          <t>باقة محاكاة المستوى</t>
        </is>
      </c>
      <c r="B12" s="3" t="inlineStr">
        <is>
          <t>عدد المشتركين المفترض</t>
        </is>
      </c>
      <c r="C12" s="3" t="inlineStr">
        <is>
          <t>إجمالي الإيرادات شهرياً (JOD)</t>
        </is>
      </c>
      <c r="D12" s="3" t="inlineStr">
        <is>
          <t>عمولات الإحالة شهرياً (JOD)</t>
        </is>
      </c>
      <c r="E12" s="3" t="inlineStr">
        <is>
          <t>مصاريف تشغيل المنصة (JOD)</t>
        </is>
      </c>
      <c r="F12" s="3" t="inlineStr">
        <is>
          <t>صافي الأرباح شهرياً (JOD)</t>
        </is>
      </c>
      <c r="G12" s="3" t="inlineStr">
        <is>
          <t>هامش الربح الصافي (%)</t>
        </is>
      </c>
      <c r="H12" s="3" t="inlineStr">
        <is>
          <t>المشتركون لنقطة التعادل</t>
        </is>
      </c>
      <c r="I12" s="3" t="inlineStr">
        <is>
          <t>ملاحظة</t>
        </is>
      </c>
    </row>
    <row r="13" ht="24" customHeight="1">
      <c r="A13" s="5" t="inlineStr">
        <is>
          <t>المستوى الأول (باقة البداية)</t>
        </is>
      </c>
      <c r="B13" s="22" t="n">
        <v>15</v>
      </c>
      <c r="C13" s="8">
        <f>B13*'تسعير الخبراء والسوق الأردني'!B6</f>
        <v/>
      </c>
      <c r="D13" s="8">
        <f>B13*'تسعير الخبراء والسوق الأردني'!E6</f>
        <v/>
      </c>
      <c r="E13" s="8">
        <f>'التكاليف التشغيلية الإجمالية'!G4</f>
        <v/>
      </c>
      <c r="F13" s="18">
        <f>C13-D13-E13</f>
        <v/>
      </c>
      <c r="G13" s="23">
        <f>F13/C13</f>
        <v/>
      </c>
      <c r="H13" s="24">
        <f>E13/'تسعير الخبراء والسوق الأردني'!F6</f>
        <v/>
      </c>
      <c r="I13" s="5" t="inlineStr">
        <is>
          <t>أرباح ممتازة ونسبة انتشار واسعة</t>
        </is>
      </c>
    </row>
    <row r="14" ht="24" customHeight="1">
      <c r="A14" s="5" t="inlineStr">
        <is>
          <t>المستوى الثاني (باقة النمو)</t>
        </is>
      </c>
      <c r="B14" s="22" t="n">
        <v>50</v>
      </c>
      <c r="C14" s="8">
        <f>B14*'تسعير الخبراء والسوق الأردني'!B7</f>
        <v/>
      </c>
      <c r="D14" s="8">
        <f>B14*'تسعير الخبراء والسوق الأردني'!E7</f>
        <v/>
      </c>
      <c r="E14" s="8">
        <f>'التكاليف التشغيلية الإجمالية'!G5</f>
        <v/>
      </c>
      <c r="F14" s="18">
        <f>C14-D14-E14</f>
        <v/>
      </c>
      <c r="G14" s="23">
        <f>F14/C14</f>
        <v/>
      </c>
      <c r="H14" s="24">
        <f>E14/'تسعير الخبراء والسوق الأردني'!F7</f>
        <v/>
      </c>
      <c r="I14" s="5" t="inlineStr">
        <is>
          <t>إيرادات وصافي ربح مرتفع جداً</t>
        </is>
      </c>
    </row>
    <row r="15" ht="24" customHeight="1">
      <c r="A15" s="5" t="inlineStr">
        <is>
          <t>المستوى الثالث (الباقة الاحترافية)</t>
        </is>
      </c>
      <c r="B15" s="22" t="n">
        <v>150</v>
      </c>
      <c r="C15" s="8">
        <f>B15*'تسعير الخبراء والسوق الأردني'!B8</f>
        <v/>
      </c>
      <c r="D15" s="8">
        <f>B15*'تسعير الخبراء والسوق الأردني'!E8</f>
        <v/>
      </c>
      <c r="E15" s="8">
        <f>'التكاليف التشغيلية الإجمالية'!G6</f>
        <v/>
      </c>
      <c r="F15" s="18">
        <f>C15-D15-E15</f>
        <v/>
      </c>
      <c r="G15" s="23">
        <f>F15/C15</f>
        <v/>
      </c>
      <c r="H15" s="24">
        <f>E15/'تسعير الخبراء والسوق الأردني'!F8</f>
        <v/>
      </c>
      <c r="I15" s="5" t="inlineStr">
        <is>
          <t>أرباح هائلة وتوسع استثماري ناجح</t>
        </is>
      </c>
    </row>
  </sheetData>
  <mergeCells count="3">
    <mergeCell ref="A1:I1"/>
    <mergeCell ref="A3:I3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rightToLeft="1" workbookViewId="0">
      <selection activeCell="A1" sqref="A1"/>
    </sheetView>
  </sheetViews>
  <sheetFormatPr baseColWidth="8" defaultRowHeight="15"/>
  <cols>
    <col width="68" customWidth="1" min="1" max="1"/>
    <col width="24" customWidth="1" min="2" max="2"/>
    <col width="26" customWidth="1" min="3" max="3"/>
    <col width="29" customWidth="1" min="4" max="4"/>
    <col width="29" customWidth="1" min="5" max="5"/>
    <col width="30" customWidth="1" min="6" max="6"/>
    <col width="27" customWidth="1" min="7" max="7"/>
    <col width="32" customWidth="1" min="8" max="8"/>
  </cols>
  <sheetData>
    <row r="1" ht="40" customHeight="1">
      <c r="A1" s="17" t="inlineStr">
        <is>
          <t>توقعات ومحاكاة التدفقات النقدية والأرباح للسنة الأولى (12 شهراً)</t>
        </is>
      </c>
    </row>
    <row r="2"/>
    <row r="3" ht="30" customHeight="1">
      <c r="A3" s="3" t="inlineStr">
        <is>
          <t>الشهر</t>
        </is>
      </c>
      <c r="B3" s="3" t="inlineStr">
        <is>
          <t>عدد الأندية المشتركة</t>
        </is>
      </c>
      <c r="C3" s="3" t="inlineStr">
        <is>
          <t>إجمالي الإيرادات (JOD)</t>
        </is>
      </c>
      <c r="D3" s="3" t="inlineStr">
        <is>
          <t>رسوم بوابة الدفع 3% (JOD)</t>
        </is>
      </c>
      <c r="E3" s="3" t="inlineStr">
        <is>
          <t>عمولات نظام الإحالة (JOD)</t>
        </is>
      </c>
      <c r="F3" s="3" t="inlineStr">
        <is>
          <t>مصاريف تشغيل السيرفر (JOD)</t>
        </is>
      </c>
      <c r="G3" s="3" t="inlineStr">
        <is>
          <t>صافي الربح الشهري (JOD)</t>
        </is>
      </c>
      <c r="H3" s="3" t="inlineStr">
        <is>
          <t>التدفق النقدي المتراكم (JOD)</t>
        </is>
      </c>
    </row>
    <row r="4" ht="24" customHeight="1">
      <c r="A4" s="25" t="inlineStr">
        <is>
          <t>الشهر 1</t>
        </is>
      </c>
      <c r="B4" s="25" t="n">
        <v>3</v>
      </c>
      <c r="C4" s="8" t="n">
        <v>145.5</v>
      </c>
      <c r="D4" s="8" t="n">
        <v>4.37</v>
      </c>
      <c r="E4" s="8" t="n">
        <v>17.58</v>
      </c>
      <c r="F4" s="8" t="n">
        <v>72.23999999999999</v>
      </c>
      <c r="G4" s="18">
        <f>C4-D4-E4-F4</f>
        <v/>
      </c>
      <c r="H4" s="26">
        <f>G4</f>
        <v/>
      </c>
    </row>
    <row r="5" ht="24" customHeight="1">
      <c r="A5" s="25" t="inlineStr">
        <is>
          <t>الشهر 2</t>
        </is>
      </c>
      <c r="B5" s="25" t="n">
        <v>5</v>
      </c>
      <c r="C5" s="8" t="n">
        <v>242.5</v>
      </c>
      <c r="D5" s="8" t="n">
        <v>7.28</v>
      </c>
      <c r="E5" s="8" t="n">
        <v>29.3</v>
      </c>
      <c r="F5" s="8" t="n">
        <v>72.23999999999999</v>
      </c>
      <c r="G5" s="18">
        <f>C5-D5-E5-F5</f>
        <v/>
      </c>
      <c r="H5" s="26">
        <f>H4+G5</f>
        <v/>
      </c>
    </row>
    <row r="6" ht="24" customHeight="1">
      <c r="A6" s="25" t="inlineStr">
        <is>
          <t>الشهر 3</t>
        </is>
      </c>
      <c r="B6" s="25" t="n">
        <v>8</v>
      </c>
      <c r="C6" s="8" t="n">
        <v>388</v>
      </c>
      <c r="D6" s="8" t="n">
        <v>11.64</v>
      </c>
      <c r="E6" s="8" t="n">
        <v>46.88</v>
      </c>
      <c r="F6" s="8" t="n">
        <v>72.23999999999999</v>
      </c>
      <c r="G6" s="18">
        <f>C6-D6-E6-F6</f>
        <v/>
      </c>
      <c r="H6" s="26">
        <f>H5+G6</f>
        <v/>
      </c>
    </row>
    <row r="7" ht="24" customHeight="1">
      <c r="A7" s="25" t="inlineStr">
        <is>
          <t>الشهر 4</t>
        </is>
      </c>
      <c r="B7" s="25" t="n">
        <v>12</v>
      </c>
      <c r="C7" s="8" t="n">
        <v>582</v>
      </c>
      <c r="D7" s="8" t="n">
        <v>17.46</v>
      </c>
      <c r="E7" s="8" t="n">
        <v>70.31999999999999</v>
      </c>
      <c r="F7" s="8" t="n">
        <v>72.23999999999999</v>
      </c>
      <c r="G7" s="18">
        <f>C7-D7-E7-F7</f>
        <v/>
      </c>
      <c r="H7" s="26">
        <f>H6+G7</f>
        <v/>
      </c>
    </row>
    <row r="8" ht="24" customHeight="1">
      <c r="A8" s="25" t="inlineStr">
        <is>
          <t>الشهر 5</t>
        </is>
      </c>
      <c r="B8" s="25" t="n">
        <v>18</v>
      </c>
      <c r="C8" s="8" t="n">
        <v>873</v>
      </c>
      <c r="D8" s="8" t="n">
        <v>26.19</v>
      </c>
      <c r="E8" s="8" t="n">
        <v>105.48</v>
      </c>
      <c r="F8" s="8" t="n">
        <v>72.23999999999999</v>
      </c>
      <c r="G8" s="18">
        <f>C8-D8-E8-F8</f>
        <v/>
      </c>
      <c r="H8" s="26">
        <f>H7+G8</f>
        <v/>
      </c>
    </row>
    <row r="9" ht="24" customHeight="1">
      <c r="A9" s="25" t="inlineStr">
        <is>
          <t>الشهر 6</t>
        </is>
      </c>
      <c r="B9" s="25" t="n">
        <v>25</v>
      </c>
      <c r="C9" s="8" t="n">
        <v>1212.5</v>
      </c>
      <c r="D9" s="8" t="n">
        <v>36.38</v>
      </c>
      <c r="E9" s="8" t="n">
        <v>146.5</v>
      </c>
      <c r="F9" s="8" t="n">
        <v>344.56</v>
      </c>
      <c r="G9" s="18">
        <f>C9-D9-E9-F9</f>
        <v/>
      </c>
      <c r="H9" s="26">
        <f>H8+G9</f>
        <v/>
      </c>
    </row>
    <row r="10" ht="24" customHeight="1">
      <c r="A10" s="25" t="inlineStr">
        <is>
          <t>الشهر 7</t>
        </is>
      </c>
      <c r="B10" s="25" t="n">
        <v>35</v>
      </c>
      <c r="C10" s="8" t="n">
        <v>1697.5</v>
      </c>
      <c r="D10" s="8" t="n">
        <v>50.93</v>
      </c>
      <c r="E10" s="8" t="n">
        <v>205.1</v>
      </c>
      <c r="F10" s="8" t="n">
        <v>344.56</v>
      </c>
      <c r="G10" s="18">
        <f>C10-D10-E10-F10</f>
        <v/>
      </c>
      <c r="H10" s="26">
        <f>H9+G10</f>
        <v/>
      </c>
    </row>
    <row r="11" ht="24" customHeight="1">
      <c r="A11" s="25" t="inlineStr">
        <is>
          <t>الشهر 8</t>
        </is>
      </c>
      <c r="B11" s="25" t="n">
        <v>48</v>
      </c>
      <c r="C11" s="8" t="n">
        <v>2328</v>
      </c>
      <c r="D11" s="8" t="n">
        <v>69.84</v>
      </c>
      <c r="E11" s="8" t="n">
        <v>281.28</v>
      </c>
      <c r="F11" s="8" t="n">
        <v>344.56</v>
      </c>
      <c r="G11" s="18">
        <f>C11-D11-E11-F11</f>
        <v/>
      </c>
      <c r="H11" s="26">
        <f>H10+G11</f>
        <v/>
      </c>
    </row>
    <row r="12" ht="24" customHeight="1">
      <c r="A12" s="25" t="inlineStr">
        <is>
          <t>الشهر 9</t>
        </is>
      </c>
      <c r="B12" s="25" t="n">
        <v>62</v>
      </c>
      <c r="C12" s="8" t="n">
        <v>3007</v>
      </c>
      <c r="D12" s="8" t="n">
        <v>90.20999999999999</v>
      </c>
      <c r="E12" s="8" t="n">
        <v>363.32</v>
      </c>
      <c r="F12" s="8" t="n">
        <v>344.56</v>
      </c>
      <c r="G12" s="18">
        <f>C12-D12-E12-F12</f>
        <v/>
      </c>
      <c r="H12" s="26">
        <f>H11+G12</f>
        <v/>
      </c>
    </row>
    <row r="13" ht="24" customHeight="1">
      <c r="A13" s="25" t="inlineStr">
        <is>
          <t>الشهر 10</t>
        </is>
      </c>
      <c r="B13" s="25" t="n">
        <v>78</v>
      </c>
      <c r="C13" s="8" t="n">
        <v>3783</v>
      </c>
      <c r="D13" s="8" t="n">
        <v>113.49</v>
      </c>
      <c r="E13" s="8" t="n">
        <v>457.08</v>
      </c>
      <c r="F13" s="8" t="n">
        <v>344.56</v>
      </c>
      <c r="G13" s="18">
        <f>C13-D13-E13-F13</f>
        <v/>
      </c>
      <c r="H13" s="26">
        <f>H12+G13</f>
        <v/>
      </c>
    </row>
    <row r="14" ht="24" customHeight="1">
      <c r="A14" s="25" t="inlineStr">
        <is>
          <t>الشهر 11</t>
        </is>
      </c>
      <c r="B14" s="25" t="n">
        <v>95</v>
      </c>
      <c r="C14" s="8" t="n">
        <v>4607.5</v>
      </c>
      <c r="D14" s="8" t="n">
        <v>138.23</v>
      </c>
      <c r="E14" s="8" t="n">
        <v>556.7</v>
      </c>
      <c r="F14" s="8" t="n">
        <v>344.56</v>
      </c>
      <c r="G14" s="18">
        <f>C14-D14-E14-F14</f>
        <v/>
      </c>
      <c r="H14" s="26">
        <f>H13+G14</f>
        <v/>
      </c>
    </row>
    <row r="15" ht="24" customHeight="1">
      <c r="A15" s="25" t="inlineStr">
        <is>
          <t>الشهر 12</t>
        </is>
      </c>
      <c r="B15" s="25" t="n">
        <v>115</v>
      </c>
      <c r="C15" s="8" t="n">
        <v>5577.5</v>
      </c>
      <c r="D15" s="8" t="n">
        <v>167.33</v>
      </c>
      <c r="E15" s="8" t="n">
        <v>673.9</v>
      </c>
      <c r="F15" s="8" t="n">
        <v>344.56</v>
      </c>
      <c r="G15" s="18">
        <f>C15-D15-E15-F15</f>
        <v/>
      </c>
      <c r="H15" s="26">
        <f>H14+G15</f>
        <v/>
      </c>
    </row>
    <row r="16" ht="25" customHeight="1">
      <c r="A16" s="27" t="inlineStr">
        <is>
          <t>المجموع السنوي</t>
        </is>
      </c>
      <c r="B16" s="14" t="inlineStr"/>
      <c r="C16" s="16">
        <f>SUM(C4:C15)</f>
        <v/>
      </c>
      <c r="D16" s="16">
        <f>SUM(D4:D15)</f>
        <v/>
      </c>
      <c r="E16" s="16">
        <f>SUM(E4:E15)</f>
        <v/>
      </c>
      <c r="F16" s="16">
        <f>SUM(F4:F15)</f>
        <v/>
      </c>
      <c r="G16" s="16">
        <f>SUM(G4:G15)</f>
        <v/>
      </c>
      <c r="H16" s="1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rightToLeft="1" workbookViewId="0">
      <selection activeCell="A1" sqref="A1"/>
    </sheetView>
  </sheetViews>
  <sheetFormatPr baseColWidth="8" defaultRowHeight="15"/>
  <cols>
    <col width="155" customWidth="1" min="1" max="1"/>
    <col width="27" customWidth="1" min="2" max="2"/>
    <col width="36" customWidth="1" min="3" max="3"/>
    <col width="44" customWidth="1" min="4" max="4"/>
    <col width="32" customWidth="1" min="5" max="5"/>
    <col width="33" customWidth="1" min="6" max="6"/>
    <col width="31" customWidth="1" min="7" max="7"/>
  </cols>
  <sheetData>
    <row r="1" ht="40" customHeight="1">
      <c r="A1" s="17" t="inlineStr">
        <is>
          <t>تحليل مقاييس قيمة العميل مدى الحياة وتكلفة الاستحواذ (LTV / CAC)</t>
        </is>
      </c>
    </row>
    <row r="2"/>
    <row r="3" ht="25" customHeight="1">
      <c r="A3" s="4" t="inlineStr">
        <is>
          <t>1. مقارنة المقاييس بين تسعير الحد الأدنى وتسعير الخبراء بالسوق الأردني</t>
        </is>
      </c>
    </row>
    <row r="4"/>
    <row r="5" ht="30" customHeight="1">
      <c r="A5" s="3" t="inlineStr">
        <is>
          <t>الباقة ونموذج التسعير</t>
        </is>
      </c>
      <c r="B5" s="3" t="inlineStr">
        <is>
          <t>متوسط بقاء النادي (شهر)</t>
        </is>
      </c>
      <c r="C5" s="3" t="inlineStr">
        <is>
          <t>قيمة العميل مدى الحياة LTV (JOD)</t>
        </is>
      </c>
      <c r="D5" s="3" t="inlineStr">
        <is>
          <t>تكلفة الاستحواذ CAC (عمولات الإحالة JOD)</t>
        </is>
      </c>
      <c r="E5" s="3" t="inlineStr">
        <is>
          <t>نسبة LTV : CAC (الذهبية &gt; 3)</t>
        </is>
      </c>
      <c r="F5" s="3" t="inlineStr">
        <is>
          <t>رسوم بوابة الدفع لكل حركة JOD</t>
        </is>
      </c>
      <c r="G5" s="3" t="inlineStr">
        <is>
          <t>جدوى الاستثمار بالعميل</t>
        </is>
      </c>
    </row>
    <row r="6" ht="24" customHeight="1">
      <c r="A6" s="5" t="inlineStr">
        <is>
          <t>البداية - تسعير الحد الأدنى (15 JOD)</t>
        </is>
      </c>
      <c r="B6" s="25" t="n">
        <v>18</v>
      </c>
      <c r="C6" s="21">
        <f>B6*15.0</f>
        <v/>
      </c>
      <c r="D6" s="8">
        <f>B6*1.5</f>
        <v/>
      </c>
      <c r="E6" s="28">
        <f>C6/D6</f>
        <v/>
      </c>
      <c r="F6" s="25" t="inlineStr">
        <is>
          <t>0.70 JOD</t>
        </is>
      </c>
      <c r="G6" s="5" t="inlineStr">
        <is>
          <t>مستقر ومناسب للانتشار</t>
        </is>
      </c>
    </row>
    <row r="7" ht="24" customHeight="1">
      <c r="A7" s="5" t="inlineStr">
        <is>
          <t>البداية - تسعير الخبراء (29 JOD)</t>
        </is>
      </c>
      <c r="B7" s="25" t="n">
        <v>18</v>
      </c>
      <c r="C7" s="21">
        <f>B7*29.0</f>
        <v/>
      </c>
      <c r="D7" s="8">
        <f>B7*2.9</f>
        <v/>
      </c>
      <c r="E7" s="29">
        <f>C7/D7</f>
        <v/>
      </c>
      <c r="F7" s="25" t="inlineStr">
        <is>
          <t>1.12 JOD</t>
        </is>
      </c>
      <c r="G7" s="5" t="inlineStr">
        <is>
          <t>ممتاز جداً لتمويل الإحالات</t>
        </is>
      </c>
    </row>
    <row r="8" ht="24" customHeight="1">
      <c r="A8" s="5" t="inlineStr">
        <is>
          <t>النمو - تسعير الحد الأدنى (25 JOD)</t>
        </is>
      </c>
      <c r="B8" s="25" t="n">
        <v>24</v>
      </c>
      <c r="C8" s="21">
        <f>B8*25.0</f>
        <v/>
      </c>
      <c r="D8" s="8">
        <f>B8*3.0</f>
        <v/>
      </c>
      <c r="E8" s="28">
        <f>C8/D8</f>
        <v/>
      </c>
      <c r="F8" s="25" t="inlineStr">
        <is>
          <t>1.00 JOD</t>
        </is>
      </c>
      <c r="G8" s="5" t="inlineStr">
        <is>
          <t>هامش ربح جيد جداً</t>
        </is>
      </c>
    </row>
    <row r="9" ht="24" customHeight="1">
      <c r="A9" s="5" t="inlineStr">
        <is>
          <t>النمو - تسعير الخبراء (59 JOD)</t>
        </is>
      </c>
      <c r="B9" s="25" t="n">
        <v>24</v>
      </c>
      <c r="C9" s="21">
        <f>B9*59.0</f>
        <v/>
      </c>
      <c r="D9" s="8">
        <f>B9*7.08</f>
        <v/>
      </c>
      <c r="E9" s="29">
        <f>C9/D9</f>
        <v/>
      </c>
      <c r="F9" s="25" t="inlineStr">
        <is>
          <t>2.02 JOD</t>
        </is>
      </c>
      <c r="G9" s="5" t="inlineStr">
        <is>
          <t>أعلى كفاءة استثمارية للمنصة</t>
        </is>
      </c>
    </row>
    <row r="10" ht="24" customHeight="1">
      <c r="A10" s="5" t="inlineStr">
        <is>
          <t>الاحتراف - تسعير الحد الأدنى (45 JOD)</t>
        </is>
      </c>
      <c r="B10" s="25" t="n">
        <v>36</v>
      </c>
      <c r="C10" s="21">
        <f>B10*45.0</f>
        <v/>
      </c>
      <c r="D10" s="8">
        <f>B10*6.75</f>
        <v/>
      </c>
      <c r="E10" s="28">
        <f>C10/D10</f>
        <v/>
      </c>
      <c r="F10" s="25" t="inlineStr">
        <is>
          <t>1.60 JOD</t>
        </is>
      </c>
      <c r="G10" s="5" t="inlineStr">
        <is>
          <t>آمن ومغري جداً للأندية</t>
        </is>
      </c>
    </row>
    <row r="11" ht="24" customHeight="1">
      <c r="A11" s="5" t="inlineStr">
        <is>
          <t>الاحتراف - تسعير الخبراء (119 JOD)</t>
        </is>
      </c>
      <c r="B11" s="25" t="n">
        <v>36</v>
      </c>
      <c r="C11" s="21">
        <f>B11*119.0</f>
        <v/>
      </c>
      <c r="D11" s="8">
        <f>B11*17.85</f>
        <v/>
      </c>
      <c r="E11" s="29">
        <f>C11/D11</f>
        <v/>
      </c>
      <c r="F11" s="25" t="inlineStr">
        <is>
          <t>3.82 JOD</t>
        </is>
      </c>
      <c r="G11" s="5" t="inlineStr">
        <is>
          <t>أرباح قياسية بمقاييس ممتازة</t>
        </is>
      </c>
    </row>
    <row r="12"/>
    <row r="13">
      <c r="A13" s="30" t="inlineStr">
        <is>
          <t>ملاحظة: تظهر نسبة LTV : CAC تفوقاً هائلاً ونمواً صحياً للمنصة، حيث تتجاوز النسبة الذهبية (3.0) بشكل دائم، مما يثبت نجاح وجدوى الاستثمار المالي بالمنصة.</t>
        </is>
      </c>
    </row>
  </sheetData>
  <mergeCells count="3">
    <mergeCell ref="A13:G13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2026-07-09T09:31:13Z</dcterms:created>
  <dcterms:modified xsi:type="dcterms:W3CDTF">2026-07-09T09:31:13Z</dcterms:modified>
</cp:coreProperties>
</file>